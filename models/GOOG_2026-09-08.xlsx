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_canarie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3" fillId="2" borderId="0" pivotButton="0" quotePrefix="0" xfId="0"/>
    <xf numFmtId="4" fontId="3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Alphabet Inc. (GOOG) — EDGAR-sourced model</t>
        </is>
      </c>
    </row>
    <row r="3">
      <c r="A3" t="inlineStr">
        <is>
          <t>Built</t>
        </is>
      </c>
      <c r="B3" t="inlineStr">
        <is>
          <t>2026-09-08 12:13</t>
        </is>
      </c>
    </row>
    <row r="4">
      <c r="A4" t="inlineStr">
        <is>
          <t>Source</t>
        </is>
      </c>
      <c r="B4" t="inlineStr">
        <is>
          <t>SEC EDGAR 10-K XBRL, stitched across 2026-02-05, 2025-02-05, 2024-01-31, 2023-02-03, 2022-02-02</t>
        </is>
      </c>
    </row>
    <row r="5">
      <c r="A5" t="inlineStr">
        <is>
          <t>Currency</t>
        </is>
      </c>
      <c r="B5" t="inlineStr">
        <is>
          <t>as filed (USD for 10-K filers; 20-F filers report in home currency — DCF per-share is in that currency)</t>
        </is>
      </c>
    </row>
    <row r="6">
      <c r="A6" t="inlineStr">
        <is>
          <t>Price</t>
        </is>
      </c>
      <c r="B6" t="n">
        <v>335.31</v>
      </c>
      <c r="C6" t="inlineStr">
        <is>
          <t>Tiingo adjusted close (latest cached)</t>
        </is>
      </c>
    </row>
    <row r="7">
      <c r="A7" t="inlineStr">
        <is>
          <t>Assumptions</t>
        </is>
      </c>
      <c r="B7" t="inlineStr">
        <is>
          <t>yellow cells on the DCF sheet are inputs; every projection is a live formula</t>
        </is>
      </c>
    </row>
    <row r="8">
      <c r="A8" t="inlineStr">
        <is>
          <t>Implied growth</t>
        </is>
      </c>
      <c r="B8" t="inlineStr">
        <is>
          <t>the price implies year-1 revenue growth of 58.4% (5y CAGR 34.4%) under the printed assumptions</t>
        </is>
      </c>
    </row>
    <row r="9">
      <c r="A9" t="inlineStr">
        <is>
          <t>Not investment advice — a transparent arithmetic scaffold with stated assumptions. Verify against the filing before use.</t>
        </is>
      </c>
    </row>
    <row r="11">
      <c r="A11" t="inlineStr">
        <is>
          <t>A1</t>
        </is>
      </c>
      <c r="B11" t="inlineStr">
        <is>
          <t>Base year = trailing twelve months from the latest 10-Q where companyfacts has it (else the last 10-K). Year-1 growth = TTM revenue growth bounded to [-10%, +60%] (else the 3y CAGR clamped to [-10%, +35%]), fading geometrically to terminal g + 1.5% by year 10.</t>
        </is>
      </c>
    </row>
    <row r="12">
      <c r="A12" t="inlineStr">
        <is>
          <t>A2</t>
        </is>
      </c>
      <c r="B12" t="inlineStr">
        <is>
          <t>EBIT margin = TTM operating margin when the TTM base is used (else the last-two-FY average); D&amp;A held at its latest-year % of revenue; capex intensity fades from the latest year to the multi-year average by year 5 and holds; NWC = 5% of incremental revenue.</t>
        </is>
      </c>
    </row>
    <row r="13">
      <c r="A13" t="inlineStr">
        <is>
          <t>A3</t>
        </is>
      </c>
      <c r="B13" t="inlineStr">
        <is>
          <t>WACC: rf = same-day Treasury 10y, ERP 5.0%, beta = Blume-adjusted (0.67 x raw + 0.33) from a 1y daily regression vs SPY (raw bounded to [0.4, 2.5]; fallback raw 1.2), cost of debt = interest expense / debt (bounded).</t>
        </is>
      </c>
    </row>
    <row r="14">
      <c r="A14" t="inlineStr">
        <is>
          <t>A4</t>
        </is>
      </c>
      <c r="B14" t="inlineStr">
        <is>
          <t>Share counts are as reported in each year's filing (pre-split years are NOT restated); per-share value uses the latest diluted count.</t>
        </is>
      </c>
    </row>
    <row r="15">
      <c r="A15" t="inlineStr">
        <is>
          <t>A5</t>
        </is>
      </c>
      <c r="B15" t="inlineStr">
        <is>
          <t>Balance-sheet cash includes short-term investments where the filer tags them; tag drift across years is resolved by the fullest row.</t>
        </is>
      </c>
    </row>
    <row r="16">
      <c r="A16" t="inlineStr">
        <is>
          <t>A6</t>
        </is>
      </c>
      <c r="B16" t="inlineStr">
        <is>
          <t>Terminal growth 2.5%. Sensitivity grid is static; the DCF sheet recomputes when inputs change.</t>
        </is>
      </c>
    </row>
    <row r="17">
      <c r="A17" t="inlineStr">
        <is>
          <t>A7</t>
        </is>
      </c>
      <c r="B17" t="inlineStr">
        <is>
          <t>A terminal-year FCFF at or below zero marks the model n/m instead of printing a negative value. The implied year-1 growth at which the scaffold equals the price (reverse DCF) is on this 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IS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Revenue</t>
        </is>
      </c>
      <c r="B3" s="3" t="n">
        <v>257637000000</v>
      </c>
      <c r="C3" s="3" t="n">
        <v>282836000000</v>
      </c>
      <c r="D3" s="3" t="n">
        <v>307394000000</v>
      </c>
      <c r="E3" s="3" t="n">
        <v>350018000000</v>
      </c>
      <c r="F3" s="3" t="n">
        <v>402836000000</v>
      </c>
    </row>
    <row r="4">
      <c r="A4" t="inlineStr">
        <is>
          <t>Cost of revenue</t>
        </is>
      </c>
      <c r="B4" s="3" t="n">
        <v>110939000000</v>
      </c>
      <c r="C4" s="3" t="n">
        <v>126203000000</v>
      </c>
      <c r="D4" s="3" t="n">
        <v>133332000000</v>
      </c>
      <c r="E4" s="3" t="n">
        <v>146306000000</v>
      </c>
      <c r="F4" s="3" t="n">
        <v>162535000000</v>
      </c>
    </row>
    <row r="5">
      <c r="A5" t="inlineStr">
        <is>
          <t>Gross profit</t>
        </is>
      </c>
      <c r="B5" s="3" t="n"/>
      <c r="C5" s="3" t="n"/>
      <c r="D5" s="3" t="n"/>
      <c r="E5" s="3" t="n"/>
      <c r="F5" s="3" t="n"/>
    </row>
    <row r="6">
      <c r="A6" t="inlineStr">
        <is>
          <t>R&amp;D</t>
        </is>
      </c>
      <c r="B6" s="3" t="n">
        <v>31562000000</v>
      </c>
      <c r="C6" s="3" t="n">
        <v>39500000000</v>
      </c>
      <c r="D6" s="3" t="n">
        <v>45427000000</v>
      </c>
      <c r="E6" s="3" t="n">
        <v>49326000000</v>
      </c>
      <c r="F6" s="3" t="n">
        <v>61087000000</v>
      </c>
    </row>
    <row r="7">
      <c r="A7" t="inlineStr">
        <is>
          <t>SG&amp;A</t>
        </is>
      </c>
      <c r="B7" s="3" t="n"/>
      <c r="C7" s="3" t="n"/>
      <c r="D7" s="3" t="n"/>
      <c r="E7" s="3" t="n"/>
      <c r="F7" s="3" t="n"/>
    </row>
    <row r="8">
      <c r="A8" t="inlineStr">
        <is>
          <t>Operating income</t>
        </is>
      </c>
      <c r="B8" s="3" t="n">
        <v>78714000000</v>
      </c>
      <c r="C8" s="3" t="n">
        <v>74842000000</v>
      </c>
      <c r="D8" s="3" t="n">
        <v>84293000000</v>
      </c>
      <c r="E8" s="3" t="n">
        <v>112390000000</v>
      </c>
      <c r="F8" s="3" t="n">
        <v>129039000000</v>
      </c>
    </row>
    <row r="9">
      <c r="A9" t="inlineStr">
        <is>
          <t>Interest expense</t>
        </is>
      </c>
      <c r="B9" s="3" t="n"/>
      <c r="C9" s="3" t="n"/>
      <c r="D9" s="3" t="n"/>
      <c r="E9" s="3" t="n"/>
      <c r="F9" s="3" t="n"/>
    </row>
    <row r="10">
      <c r="A10" t="inlineStr">
        <is>
          <t>Pre-tax income</t>
        </is>
      </c>
      <c r="B10" s="3" t="n">
        <v>90734000000</v>
      </c>
      <c r="C10" s="3" t="n">
        <v>71328000000</v>
      </c>
      <c r="D10" s="3" t="n">
        <v>85717000000</v>
      </c>
      <c r="E10" s="3" t="n">
        <v>119815000000</v>
      </c>
      <c r="F10" s="3" t="n">
        <v>158826000000</v>
      </c>
    </row>
    <row r="11">
      <c r="A11" t="inlineStr">
        <is>
          <t>Income tax</t>
        </is>
      </c>
      <c r="B11" s="3" t="n">
        <v>14701000000</v>
      </c>
      <c r="C11" s="3" t="n">
        <v>11356000000</v>
      </c>
      <c r="D11" s="3" t="n">
        <v>11922000000</v>
      </c>
      <c r="E11" s="3" t="n">
        <v>19697000000</v>
      </c>
      <c r="F11" s="3" t="n">
        <v>26656000000</v>
      </c>
    </row>
    <row r="12">
      <c r="A12" t="inlineStr">
        <is>
          <t>Net income</t>
        </is>
      </c>
      <c r="B12" s="3" t="n">
        <v>76033000000</v>
      </c>
      <c r="C12" s="3" t="n">
        <v>59972000000</v>
      </c>
      <c r="D12" s="3" t="n">
        <v>73795000000</v>
      </c>
      <c r="E12" s="3" t="n">
        <v>100118000000</v>
      </c>
      <c r="F12" s="3" t="n">
        <v>132170000000</v>
      </c>
    </row>
    <row r="13">
      <c r="A13" t="inlineStr">
        <is>
          <t>EPS diluted</t>
        </is>
      </c>
      <c r="B13" s="3" t="n">
        <v>112.2</v>
      </c>
      <c r="C13" s="3" t="n">
        <v>4.56</v>
      </c>
      <c r="D13" s="3" t="n">
        <v>5.8</v>
      </c>
      <c r="E13" s="3" t="n">
        <v>8.039999999999999</v>
      </c>
      <c r="F13" s="3" t="n">
        <v>10.81</v>
      </c>
    </row>
    <row r="14">
      <c r="A14" t="inlineStr">
        <is>
          <t>Diluted shares</t>
        </is>
      </c>
      <c r="B14" s="3" t="n"/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BS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Cash &amp; equivalents</t>
        </is>
      </c>
      <c r="B3" s="3" t="n">
        <v>20945000000</v>
      </c>
      <c r="C3" s="3" t="n">
        <v>21879000000</v>
      </c>
      <c r="D3" s="3" t="n">
        <v>24048000000</v>
      </c>
      <c r="E3" s="3" t="n">
        <v>23466000000</v>
      </c>
      <c r="F3" s="3" t="n">
        <v>30708000000</v>
      </c>
    </row>
    <row r="4">
      <c r="A4" t="inlineStr">
        <is>
          <t>Short-term investments</t>
        </is>
      </c>
      <c r="B4" s="3" t="n">
        <v>118704000000</v>
      </c>
      <c r="C4" s="3" t="n">
        <v>91883000000</v>
      </c>
      <c r="D4" s="3" t="n">
        <v>86868000000</v>
      </c>
      <c r="E4" s="3" t="n">
        <v>72191000000</v>
      </c>
      <c r="F4" s="3" t="n">
        <v>96135000000</v>
      </c>
    </row>
    <row r="5">
      <c r="A5" t="inlineStr">
        <is>
          <t>Total assets</t>
        </is>
      </c>
      <c r="B5" s="3" t="n">
        <v>359268000000</v>
      </c>
      <c r="C5" s="3" t="n">
        <v>365264000000</v>
      </c>
      <c r="D5" s="3" t="n">
        <v>402392000000</v>
      </c>
      <c r="E5" s="3" t="n">
        <v>450256000000</v>
      </c>
      <c r="F5" s="3" t="n">
        <v>595281000000</v>
      </c>
    </row>
    <row r="6">
      <c r="A6" t="inlineStr">
        <is>
          <t>Debt — current</t>
        </is>
      </c>
      <c r="B6" s="3" t="n"/>
      <c r="C6" s="3" t="n"/>
      <c r="D6" s="3" t="n"/>
      <c r="E6" s="3" t="n"/>
      <c r="F6" s="3" t="n"/>
    </row>
    <row r="7">
      <c r="A7" t="inlineStr">
        <is>
          <t>Debt — long-term</t>
        </is>
      </c>
      <c r="B7" s="3" t="n">
        <v>14817000000</v>
      </c>
      <c r="C7" s="3" t="n">
        <v>14701000000</v>
      </c>
      <c r="D7" s="3" t="n">
        <v>13253000000</v>
      </c>
      <c r="E7" s="3" t="n">
        <v>10883000000</v>
      </c>
      <c r="F7" s="3" t="n">
        <v>46547000000</v>
      </c>
    </row>
    <row r="8">
      <c r="A8" t="inlineStr">
        <is>
          <t>Shareholders' equity</t>
        </is>
      </c>
      <c r="B8" s="3" t="n">
        <v>251635000000</v>
      </c>
      <c r="C8" s="3" t="n">
        <v>256144000000</v>
      </c>
      <c r="D8" s="3" t="n">
        <v>283379000000</v>
      </c>
      <c r="E8" s="3" t="n">
        <v>325084000000</v>
      </c>
      <c r="F8" s="3" t="n">
        <v>415265000000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CF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Cash from operations</t>
        </is>
      </c>
      <c r="B3" s="3" t="n">
        <v>91652000000</v>
      </c>
      <c r="C3" s="3" t="n">
        <v>91495000000</v>
      </c>
      <c r="D3" s="3" t="n">
        <v>101746000000</v>
      </c>
      <c r="E3" s="3" t="n">
        <v>125299000000</v>
      </c>
      <c r="F3" s="3" t="n">
        <v>164713000000</v>
      </c>
    </row>
    <row r="4">
      <c r="A4" t="inlineStr">
        <is>
          <t>Capex</t>
        </is>
      </c>
      <c r="B4" s="3" t="n">
        <v>-24640000000</v>
      </c>
      <c r="C4" s="3" t="n">
        <v>-31485000000</v>
      </c>
      <c r="D4" s="3" t="n">
        <v>-32251000000</v>
      </c>
      <c r="E4" s="3" t="n">
        <v>-52535000000</v>
      </c>
      <c r="F4" s="3" t="n">
        <v>-91447000000</v>
      </c>
    </row>
    <row r="5">
      <c r="A5" t="inlineStr">
        <is>
          <t>D&amp;A</t>
        </is>
      </c>
      <c r="B5" s="3" t="n"/>
      <c r="C5" s="3" t="n"/>
      <c r="D5" s="3" t="n">
        <v>11946000000</v>
      </c>
      <c r="E5" s="3" t="n">
        <v>15311000000</v>
      </c>
      <c r="F5" s="3" t="n">
        <v>21136000000</v>
      </c>
    </row>
    <row r="6">
      <c r="A6" t="inlineStr">
        <is>
          <t>Stock-based comp</t>
        </is>
      </c>
      <c r="B6" s="3" t="n">
        <v>15376000000</v>
      </c>
      <c r="C6" s="3" t="n">
        <v>19362000000</v>
      </c>
      <c r="D6" s="3" t="n">
        <v>22460000000</v>
      </c>
      <c r="E6" s="3" t="n">
        <v>22785000000</v>
      </c>
      <c r="F6" s="3" t="n">
        <v>24953000000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DCF — FCFF, 10-year explicit + Gordon terminal (base = TTM)</t>
        </is>
      </c>
    </row>
    <row r="3">
      <c r="A3" t="inlineStr">
        <is>
          <t>Risk-free (10y)</t>
        </is>
      </c>
      <c r="B3" s="4" t="n">
        <v>0.0478</v>
      </c>
    </row>
    <row r="4">
      <c r="A4" t="inlineStr">
        <is>
          <t>Equity risk premium</t>
        </is>
      </c>
      <c r="B4" s="4" t="n">
        <v>0.05</v>
      </c>
    </row>
    <row r="5">
      <c r="A5" t="inlineStr">
        <is>
          <t>Beta</t>
        </is>
      </c>
      <c r="B5" s="5" t="n">
        <v>1.241</v>
      </c>
    </row>
    <row r="6">
      <c r="A6" t="inlineStr">
        <is>
          <t>Cost of debt (pre-tax)</t>
        </is>
      </c>
      <c r="B6" s="4" t="n">
        <v>0.06279999999999999</v>
      </c>
    </row>
    <row r="7">
      <c r="A7" t="inlineStr">
        <is>
          <t>Tax rate</t>
        </is>
      </c>
      <c r="B7" s="4" t="n">
        <v>0.1678</v>
      </c>
    </row>
    <row r="8">
      <c r="A8" t="inlineStr">
        <is>
          <t>Equity weight</t>
        </is>
      </c>
      <c r="B8" s="4" t="n">
        <v>0.989</v>
      </c>
    </row>
    <row r="9">
      <c r="A9" t="inlineStr">
        <is>
          <t>Debt weight</t>
        </is>
      </c>
      <c r="B9" s="4" t="n">
        <v>0.011</v>
      </c>
    </row>
    <row r="10">
      <c r="A10" t="inlineStr">
        <is>
          <t>Year-1 revenue growth</t>
        </is>
      </c>
      <c r="B10" s="4" t="n">
        <v>0.2738</v>
      </c>
    </row>
    <row r="11">
      <c r="A11" t="inlineStr">
        <is>
          <t>Terminal growth</t>
        </is>
      </c>
      <c r="B11" s="4" t="n">
        <v>0.025</v>
      </c>
    </row>
    <row r="12">
      <c r="A12" t="inlineStr">
        <is>
          <t>EBIT margin</t>
        </is>
      </c>
      <c r="B12" s="4" t="n">
        <v>0.3311</v>
      </c>
    </row>
    <row r="13">
      <c r="A13" t="inlineStr">
        <is>
          <t>D&amp;A % revenue</t>
        </is>
      </c>
      <c r="B13" s="4" t="n">
        <v>0.0525</v>
      </c>
    </row>
    <row r="14">
      <c r="A14" t="inlineStr">
        <is>
          <t>Capex % revenue</t>
        </is>
      </c>
      <c r="B14" s="4" t="n">
        <v>0.227</v>
      </c>
    </row>
    <row r="15">
      <c r="A15" t="inlineStr">
        <is>
          <t>NWC % of Δrevenue</t>
        </is>
      </c>
      <c r="B15" s="4" t="n">
        <v>0.05</v>
      </c>
    </row>
    <row r="16">
      <c r="A16" t="inlineStr">
        <is>
          <t>Net debt</t>
        </is>
      </c>
      <c r="B16" s="5" t="n">
        <v>-80296000000</v>
      </c>
    </row>
    <row r="17">
      <c r="A17" t="inlineStr">
        <is>
          <t>Diluted shares</t>
        </is>
      </c>
      <c r="B17" s="5" t="n">
        <v>12230000000</v>
      </c>
    </row>
    <row r="18">
      <c r="A18" t="inlineStr">
        <is>
          <t>Price</t>
        </is>
      </c>
      <c r="B18" s="5" t="n">
        <v>335.31</v>
      </c>
    </row>
    <row r="20">
      <c r="A20" t="inlineStr">
        <is>
          <t>Cost of equity</t>
        </is>
      </c>
      <c r="B20" s="6">
        <f>B3+B5*B4</f>
        <v/>
      </c>
    </row>
    <row r="21">
      <c r="A21" t="inlineStr">
        <is>
          <t>WACC (floored at g + 2%)</t>
        </is>
      </c>
      <c r="B21" s="6">
        <f>MAX(B11+0.02,B8*B20+B9*B6*(1-B7))</f>
        <v/>
      </c>
    </row>
    <row r="23">
      <c r="A23" s="2" t="inlineStr">
        <is>
          <t>Projection</t>
        </is>
      </c>
    </row>
    <row r="24">
      <c r="A24" s="2" t="inlineStr"/>
      <c r="B24" s="2" t="inlineStr">
        <is>
          <t>Base (TTM)</t>
        </is>
      </c>
      <c r="C24" s="2" t="inlineStr">
        <is>
          <t>Y1</t>
        </is>
      </c>
      <c r="D24" s="2" t="inlineStr">
        <is>
          <t>Y2</t>
        </is>
      </c>
      <c r="E24" s="2" t="inlineStr">
        <is>
          <t>Y3</t>
        </is>
      </c>
      <c r="F24" s="2" t="inlineStr">
        <is>
          <t>Y4</t>
        </is>
      </c>
      <c r="G24" s="2" t="inlineStr">
        <is>
          <t>Y5</t>
        </is>
      </c>
      <c r="H24" s="2" t="inlineStr">
        <is>
          <t>Y6</t>
        </is>
      </c>
      <c r="I24" s="2" t="inlineStr">
        <is>
          <t>Y7</t>
        </is>
      </c>
      <c r="J24" s="2" t="inlineStr">
        <is>
          <t>Y8</t>
        </is>
      </c>
      <c r="K24" s="2" t="inlineStr">
        <is>
          <t>Y9</t>
        </is>
      </c>
      <c r="L24" s="2" t="inlineStr">
        <is>
          <t>Y10</t>
        </is>
      </c>
    </row>
    <row r="25">
      <c r="A25" t="inlineStr">
        <is>
          <t>Growth</t>
        </is>
      </c>
      <c r="C25" s="7">
        <f>IF($B$10&gt;0.02,$B$10*(($B$11+0.015)/$B$10)^((1-1)/(10-1)),$B$10+($B$11+0.015-$B$10)*(1-1)/(10-1))</f>
        <v/>
      </c>
      <c r="D25" s="7">
        <f>IF($B$10&gt;0.02,$B$10*(($B$11+0.015)/$B$10)^((2-1)/(10-1)),$B$10+($B$11+0.015-$B$10)*(2-1)/(10-1))</f>
        <v/>
      </c>
      <c r="E25" s="7">
        <f>IF($B$10&gt;0.02,$B$10*(($B$11+0.015)/$B$10)^((3-1)/(10-1)),$B$10+($B$11+0.015-$B$10)*(3-1)/(10-1))</f>
        <v/>
      </c>
      <c r="F25" s="7">
        <f>IF($B$10&gt;0.02,$B$10*(($B$11+0.015)/$B$10)^((4-1)/(10-1)),$B$10+($B$11+0.015-$B$10)*(4-1)/(10-1))</f>
        <v/>
      </c>
      <c r="G25" s="7">
        <f>IF($B$10&gt;0.02,$B$10*(($B$11+0.015)/$B$10)^((5-1)/(10-1)),$B$10+($B$11+0.015-$B$10)*(5-1)/(10-1))</f>
        <v/>
      </c>
      <c r="H25" s="7">
        <f>IF($B$10&gt;0.02,$B$10*(($B$11+0.015)/$B$10)^((6-1)/(10-1)),$B$10+($B$11+0.015-$B$10)*(6-1)/(10-1))</f>
        <v/>
      </c>
      <c r="I25" s="7">
        <f>IF($B$10&gt;0.02,$B$10*(($B$11+0.015)/$B$10)^((7-1)/(10-1)),$B$10+($B$11+0.015-$B$10)*(7-1)/(10-1))</f>
        <v/>
      </c>
      <c r="J25" s="7">
        <f>IF($B$10&gt;0.02,$B$10*(($B$11+0.015)/$B$10)^((8-1)/(10-1)),$B$10+($B$11+0.015-$B$10)*(8-1)/(10-1))</f>
        <v/>
      </c>
      <c r="K25" s="7">
        <f>IF($B$10&gt;0.02,$B$10*(($B$11+0.015)/$B$10)^((9-1)/(10-1)),$B$10+($B$11+0.015-$B$10)*(9-1)/(10-1))</f>
        <v/>
      </c>
      <c r="L25" s="7">
        <f>IF($B$10&gt;0.02,$B$10*(($B$11+0.015)/$B$10)^((10-1)/(10-1)),$B$10+($B$11+0.015-$B$10)*(10-1)/(10-1))</f>
        <v/>
      </c>
    </row>
    <row r="26">
      <c r="A26" t="inlineStr">
        <is>
          <t>Revenue</t>
        </is>
      </c>
      <c r="B26" t="n">
        <v>445866000000</v>
      </c>
      <c r="C26" s="8">
        <f>B26*(1+C25)</f>
        <v/>
      </c>
      <c r="D26" s="8">
        <f>C26*(1+D25)</f>
        <v/>
      </c>
      <c r="E26" s="8">
        <f>D26*(1+E25)</f>
        <v/>
      </c>
      <c r="F26" s="8">
        <f>E26*(1+F25)</f>
        <v/>
      </c>
      <c r="G26" s="8">
        <f>F26*(1+G25)</f>
        <v/>
      </c>
      <c r="H26" s="8">
        <f>G26*(1+H25)</f>
        <v/>
      </c>
      <c r="I26" s="8">
        <f>H26*(1+I25)</f>
        <v/>
      </c>
      <c r="J26" s="8">
        <f>I26*(1+J25)</f>
        <v/>
      </c>
      <c r="K26" s="8">
        <f>J26*(1+K25)</f>
        <v/>
      </c>
      <c r="L26" s="8">
        <f>K26*(1+L25)</f>
        <v/>
      </c>
    </row>
    <row r="27">
      <c r="A27" t="inlineStr">
        <is>
          <t>EBIT</t>
        </is>
      </c>
      <c r="C27" s="8">
        <f>C26*$B$12</f>
        <v/>
      </c>
      <c r="D27" s="8">
        <f>D26*$B$12</f>
        <v/>
      </c>
      <c r="E27" s="8">
        <f>E26*$B$12</f>
        <v/>
      </c>
      <c r="F27" s="8">
        <f>F26*$B$12</f>
        <v/>
      </c>
      <c r="G27" s="8">
        <f>G26*$B$12</f>
        <v/>
      </c>
      <c r="H27" s="8">
        <f>H26*$B$12</f>
        <v/>
      </c>
      <c r="I27" s="8">
        <f>I26*$B$12</f>
        <v/>
      </c>
      <c r="J27" s="8">
        <f>J26*$B$12</f>
        <v/>
      </c>
      <c r="K27" s="8">
        <f>K26*$B$12</f>
        <v/>
      </c>
      <c r="L27" s="8">
        <f>L26*$B$12</f>
        <v/>
      </c>
    </row>
    <row r="28">
      <c r="A28" t="inlineStr">
        <is>
          <t>NOPAT</t>
        </is>
      </c>
      <c r="C28" s="8">
        <f>C27*(1-$B$7)</f>
        <v/>
      </c>
      <c r="D28" s="8">
        <f>D27*(1-$B$7)</f>
        <v/>
      </c>
      <c r="E28" s="8">
        <f>E27*(1-$B$7)</f>
        <v/>
      </c>
      <c r="F28" s="8">
        <f>F27*(1-$B$7)</f>
        <v/>
      </c>
      <c r="G28" s="8">
        <f>G27*(1-$B$7)</f>
        <v/>
      </c>
      <c r="H28" s="8">
        <f>H27*(1-$B$7)</f>
        <v/>
      </c>
      <c r="I28" s="8">
        <f>I27*(1-$B$7)</f>
        <v/>
      </c>
      <c r="J28" s="8">
        <f>J27*(1-$B$7)</f>
        <v/>
      </c>
      <c r="K28" s="8">
        <f>K27*(1-$B$7)</f>
        <v/>
      </c>
      <c r="L28" s="8">
        <f>L27*(1-$B$7)</f>
        <v/>
      </c>
    </row>
    <row r="29">
      <c r="A29" t="inlineStr">
        <is>
          <t>D&amp;A</t>
        </is>
      </c>
      <c r="C29" s="8">
        <f>C26*$B$13</f>
        <v/>
      </c>
      <c r="D29" s="8">
        <f>D26*$B$13</f>
        <v/>
      </c>
      <c r="E29" s="8">
        <f>E26*$B$13</f>
        <v/>
      </c>
      <c r="F29" s="8">
        <f>F26*$B$13</f>
        <v/>
      </c>
      <c r="G29" s="8">
        <f>G26*$B$13</f>
        <v/>
      </c>
      <c r="H29" s="8">
        <f>H26*$B$13</f>
        <v/>
      </c>
      <c r="I29" s="8">
        <f>I26*$B$13</f>
        <v/>
      </c>
      <c r="J29" s="8">
        <f>J26*$B$13</f>
        <v/>
      </c>
      <c r="K29" s="8">
        <f>K26*$B$13</f>
        <v/>
      </c>
      <c r="L29" s="8">
        <f>L26*$B$13</f>
        <v/>
      </c>
    </row>
    <row r="30">
      <c r="A30" t="inlineStr">
        <is>
          <t>Capex</t>
        </is>
      </c>
      <c r="C30" s="8">
        <f>C26*$B$14</f>
        <v/>
      </c>
      <c r="D30" s="8">
        <f>D26*$B$14</f>
        <v/>
      </c>
      <c r="E30" s="8">
        <f>E26*$B$14</f>
        <v/>
      </c>
      <c r="F30" s="8">
        <f>F26*$B$14</f>
        <v/>
      </c>
      <c r="G30" s="8">
        <f>G26*$B$14</f>
        <v/>
      </c>
      <c r="H30" s="8">
        <f>H26*$B$14</f>
        <v/>
      </c>
      <c r="I30" s="8">
        <f>I26*$B$14</f>
        <v/>
      </c>
      <c r="J30" s="8">
        <f>J26*$B$14</f>
        <v/>
      </c>
      <c r="K30" s="8">
        <f>K26*$B$14</f>
        <v/>
      </c>
      <c r="L30" s="8">
        <f>L26*$B$14</f>
        <v/>
      </c>
    </row>
    <row r="31">
      <c r="A31" t="inlineStr">
        <is>
          <t>ΔNWC</t>
        </is>
      </c>
      <c r="C31" s="8">
        <f>(C26-B26)*$B$15</f>
        <v/>
      </c>
      <c r="D31" s="8">
        <f>(D26-C26)*$B$15</f>
        <v/>
      </c>
      <c r="E31" s="8">
        <f>(E26-D26)*$B$15</f>
        <v/>
      </c>
      <c r="F31" s="8">
        <f>(F26-E26)*$B$15</f>
        <v/>
      </c>
      <c r="G31" s="8">
        <f>(G26-F26)*$B$15</f>
        <v/>
      </c>
      <c r="H31" s="8">
        <f>(H26-G26)*$B$15</f>
        <v/>
      </c>
      <c r="I31" s="8">
        <f>(I26-H26)*$B$15</f>
        <v/>
      </c>
      <c r="J31" s="8">
        <f>(J26-I26)*$B$15</f>
        <v/>
      </c>
      <c r="K31" s="8">
        <f>(K26-J26)*$B$15</f>
        <v/>
      </c>
      <c r="L31" s="8">
        <f>(L26-K26)*$B$15</f>
        <v/>
      </c>
    </row>
    <row r="32">
      <c r="A32" t="inlineStr">
        <is>
          <t>FCFF</t>
        </is>
      </c>
      <c r="C32" s="8">
        <f>C28+C29-C30-C31</f>
        <v/>
      </c>
      <c r="D32" s="8">
        <f>D28+D29-D30-D31</f>
        <v/>
      </c>
      <c r="E32" s="8">
        <f>E28+E29-E30-E31</f>
        <v/>
      </c>
      <c r="F32" s="8">
        <f>F28+F29-F30-F31</f>
        <v/>
      </c>
      <c r="G32" s="8">
        <f>G28+G29-G30-G31</f>
        <v/>
      </c>
      <c r="H32" s="8">
        <f>H28+H29-H30-H31</f>
        <v/>
      </c>
      <c r="I32" s="8">
        <f>I28+I29-I30-I31</f>
        <v/>
      </c>
      <c r="J32" s="8">
        <f>J28+J29-J30-J31</f>
        <v/>
      </c>
      <c r="K32" s="8">
        <f>K28+K29-K30-K31</f>
        <v/>
      </c>
      <c r="L32" s="8">
        <f>L28+L29-L30-L31</f>
        <v/>
      </c>
    </row>
    <row r="33">
      <c r="A33" t="inlineStr">
        <is>
          <t>Discount factor</t>
        </is>
      </c>
      <c r="C33" s="9">
        <f>1/(1+$B$21)^1</f>
        <v/>
      </c>
      <c r="D33" s="9">
        <f>1/(1+$B$21)^2</f>
        <v/>
      </c>
      <c r="E33" s="9">
        <f>1/(1+$B$21)^3</f>
        <v/>
      </c>
      <c r="F33" s="9">
        <f>1/(1+$B$21)^4</f>
        <v/>
      </c>
      <c r="G33" s="9">
        <f>1/(1+$B$21)^5</f>
        <v/>
      </c>
      <c r="H33" s="9">
        <f>1/(1+$B$21)^6</f>
        <v/>
      </c>
      <c r="I33" s="9">
        <f>1/(1+$B$21)^7</f>
        <v/>
      </c>
      <c r="J33" s="9">
        <f>1/(1+$B$21)^8</f>
        <v/>
      </c>
      <c r="K33" s="9">
        <f>1/(1+$B$21)^9</f>
        <v/>
      </c>
      <c r="L33" s="9">
        <f>1/(1+$B$21)^10</f>
        <v/>
      </c>
    </row>
    <row r="34">
      <c r="A34" t="inlineStr">
        <is>
          <t>PV of FCFF</t>
        </is>
      </c>
      <c r="C34" s="8">
        <f>C32*C33</f>
        <v/>
      </c>
      <c r="D34" s="8">
        <f>D32*D33</f>
        <v/>
      </c>
      <c r="E34" s="8">
        <f>E32*E33</f>
        <v/>
      </c>
      <c r="F34" s="8">
        <f>F32*F33</f>
        <v/>
      </c>
      <c r="G34" s="8">
        <f>G32*G33</f>
        <v/>
      </c>
      <c r="H34" s="8">
        <f>H32*H33</f>
        <v/>
      </c>
      <c r="I34" s="8">
        <f>I32*I33</f>
        <v/>
      </c>
      <c r="J34" s="8">
        <f>J32*J33</f>
        <v/>
      </c>
      <c r="K34" s="8">
        <f>K32*K33</f>
        <v/>
      </c>
      <c r="L34" s="8">
        <f>L32*L33</f>
        <v/>
      </c>
    </row>
    <row r="36">
      <c r="A36" t="inlineStr">
        <is>
          <t>Terminal value</t>
        </is>
      </c>
      <c r="B36" s="8">
        <f>L32*(1+$B$11)/($B$21-$B$11)</f>
        <v/>
      </c>
    </row>
    <row r="37">
      <c r="A37" t="inlineStr">
        <is>
          <t>PV of terminal value</t>
        </is>
      </c>
      <c r="B37" s="8">
        <f>B36*L33</f>
        <v/>
      </c>
    </row>
    <row r="38">
      <c r="A38" t="inlineStr">
        <is>
          <t>Enterprise value</t>
        </is>
      </c>
      <c r="B38" s="8">
        <f>SUM(C34:L34)+B37</f>
        <v/>
      </c>
    </row>
    <row r="39">
      <c r="A39" t="inlineStr">
        <is>
          <t>Equity value</t>
        </is>
      </c>
      <c r="B39" s="8">
        <f>B38-B16</f>
        <v/>
      </c>
    </row>
    <row r="40">
      <c r="A40" t="inlineStr">
        <is>
          <t>Value per share</t>
        </is>
      </c>
      <c r="B40" s="10">
        <f>B39/B17</f>
        <v/>
      </c>
    </row>
    <row r="41">
      <c r="A41" t="inlineStr">
        <is>
          <t>Upside vs price</t>
        </is>
      </c>
      <c r="B41" s="7">
        <f>B40/B18-1</f>
        <v/>
      </c>
    </row>
    <row r="43">
      <c r="A43" t="inlineStr">
        <is>
          <t>Python-computed check of the same model (values):</t>
        </is>
      </c>
      <c r="B43" t="n">
        <v>177.78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Value per share — WACC (rows) × terminal growth (cols). Static grid from the Python model; the DCF sheet is live.</t>
        </is>
      </c>
    </row>
    <row r="2">
      <c r="B2" s="7" t="n">
        <v>0.02</v>
      </c>
      <c r="C2" s="7" t="n">
        <v>0.025</v>
      </c>
      <c r="D2" s="7" t="n">
        <v>0.03</v>
      </c>
    </row>
    <row r="3">
      <c r="A3" s="6" t="n">
        <v>0.0992</v>
      </c>
      <c r="B3" s="10" t="n">
        <v>197.02</v>
      </c>
      <c r="C3" s="10" t="n">
        <v>204.99</v>
      </c>
      <c r="D3" s="10" t="n">
        <v>214.1</v>
      </c>
    </row>
    <row r="4">
      <c r="A4" s="6" t="n">
        <v>0.1042</v>
      </c>
      <c r="B4" s="10" t="n">
        <v>183.77</v>
      </c>
      <c r="C4" s="10" t="n">
        <v>190.5</v>
      </c>
      <c r="D4" s="10" t="n">
        <v>198.15</v>
      </c>
    </row>
    <row r="5">
      <c r="A5" s="6" t="n">
        <v>0.1092</v>
      </c>
      <c r="B5" s="10" t="n">
        <v>172.04</v>
      </c>
      <c r="C5" s="10" t="n">
        <v>177.78</v>
      </c>
      <c r="D5" s="10" t="n">
        <v>184.25</v>
      </c>
    </row>
    <row r="6">
      <c r="A6" s="6" t="n">
        <v>0.1142</v>
      </c>
      <c r="B6" s="10" t="n">
        <v>161.6</v>
      </c>
      <c r="C6" s="10" t="n">
        <v>166.53</v>
      </c>
      <c r="D6" s="10" t="n">
        <v>172.04</v>
      </c>
    </row>
    <row r="7">
      <c r="A7" s="6" t="n">
        <v>0.1192</v>
      </c>
      <c r="B7" s="10" t="n">
        <v>152.25</v>
      </c>
      <c r="C7" s="10" t="n">
        <v>156.51</v>
      </c>
      <c r="D7" s="10" t="n">
        <v>161.24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fy_end</t>
        </is>
      </c>
      <c r="D1" s="2" t="inlineStr">
        <is>
          <t>revenue</t>
        </is>
      </c>
      <c r="E1" s="2" t="inlineStr">
        <is>
          <t>rev_growth_pct</t>
        </is>
      </c>
      <c r="F1" s="2" t="inlineStr">
        <is>
          <t>gross_margin_pct</t>
        </is>
      </c>
      <c r="G1" s="2" t="inlineStr">
        <is>
          <t>op_margin_pct</t>
        </is>
      </c>
      <c r="H1" s="2" t="inlineStr">
        <is>
          <t>net_margin_pct</t>
        </is>
      </c>
      <c r="I1" s="2" t="inlineStr">
        <is>
          <t>price</t>
        </is>
      </c>
      <c r="J1" s="2" t="inlineStr">
        <is>
          <t>market_cap</t>
        </is>
      </c>
      <c r="K1" s="2" t="inlineStr">
        <is>
          <t>pe</t>
        </is>
      </c>
      <c r="L1" s="2" t="inlineStr">
        <is>
          <t>ps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2025-12-31</t>
        </is>
      </c>
      <c r="D2" t="n">
        <v>402836000000</v>
      </c>
      <c r="E2" t="n">
        <v>15.09008108154437</v>
      </c>
      <c r="G2" t="n">
        <v>32.03263859238002</v>
      </c>
      <c r="H2" t="n">
        <v>32.80987796522654</v>
      </c>
      <c r="I2" t="n">
        <v>335.02</v>
      </c>
      <c r="J2" t="n">
        <v>4097294600000</v>
      </c>
      <c r="K2" t="n">
        <v>31.0001861239313</v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2025-12-31</t>
        </is>
      </c>
      <c r="D3" t="n">
        <v>200966000000</v>
      </c>
      <c r="E3" t="n">
        <v>22.16703849824622</v>
      </c>
      <c r="G3" t="n">
        <v>41.43785515957924</v>
      </c>
      <c r="H3" t="n">
        <v>30.08369574952977</v>
      </c>
      <c r="I3" t="n">
        <v>578.54</v>
      </c>
      <c r="J3" t="n">
        <v>1489161960000</v>
      </c>
      <c r="K3" t="n">
        <v>24.63134672003705</v>
      </c>
    </row>
    <row r="4">
      <c r="A4" t="inlineStr">
        <is>
          <t>TMUS</t>
        </is>
      </c>
      <c r="B4" t="inlineStr">
        <is>
          <t>T-Mobile US, Inc.</t>
        </is>
      </c>
      <c r="C4" t="inlineStr">
        <is>
          <t>2025-12-31</t>
        </is>
      </c>
      <c r="D4" t="n">
        <v>88309000000</v>
      </c>
      <c r="E4" t="n">
        <v>8.487714987714989</v>
      </c>
      <c r="G4" t="n">
        <v>20.69890951092188</v>
      </c>
      <c r="H4" t="n">
        <v>12.44720243689771</v>
      </c>
      <c r="I4" t="n">
        <v>182.16</v>
      </c>
      <c r="J4" t="n">
        <v>206036849882.16</v>
      </c>
      <c r="K4" t="n">
        <v>18.74425490194323</v>
      </c>
    </row>
    <row r="5">
      <c r="A5" t="inlineStr">
        <is>
          <t>VZ</t>
        </is>
      </c>
      <c r="B5" t="inlineStr">
        <is>
          <t>VERIZON COMMUNICATIONS INC</t>
        </is>
      </c>
      <c r="C5" t="inlineStr">
        <is>
          <t>2025-12-31</t>
        </is>
      </c>
      <c r="D5" t="n">
        <v>138191000000</v>
      </c>
      <c r="E5" t="n">
        <v>2.524705463394361</v>
      </c>
      <c r="G5" t="n">
        <v>21.17286943433364</v>
      </c>
      <c r="H5" t="n">
        <v>12.42772684183485</v>
      </c>
      <c r="I5" t="n">
        <v>50.3</v>
      </c>
      <c r="J5" t="n">
        <v>212819300000</v>
      </c>
      <c r="K5" t="n">
        <v>12.39194712938162</v>
      </c>
    </row>
    <row r="6">
      <c r="A6" t="inlineStr">
        <is>
          <t>ABNB</t>
        </is>
      </c>
      <c r="B6" t="inlineStr">
        <is>
          <t>Airbnb, Inc.</t>
        </is>
      </c>
      <c r="C6" t="inlineStr">
        <is>
          <t>2025-12-31</t>
        </is>
      </c>
      <c r="D6" t="n">
        <v>12241000000</v>
      </c>
      <c r="E6" t="n">
        <v>10.25941271842912</v>
      </c>
      <c r="G6" t="n">
        <v>20.7826157993628</v>
      </c>
      <c r="H6" t="n">
        <v>20.51302998121069</v>
      </c>
      <c r="I6" t="n">
        <v>182.545</v>
      </c>
      <c r="J6" t="n">
        <v>113725535000</v>
      </c>
      <c r="K6" t="n">
        <v>45.29093389088012</v>
      </c>
    </row>
    <row r="8">
      <c r="A8" t="inlineStr">
        <is>
          <t>Peers: financedatabase (same industry, US, large/mega cap); fundamentals EDGAR; prices Tiingo. Missing peers are omitted, never guessed.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model</t>
        </is>
      </c>
      <c r="C1" s="2" t="inlineStr">
        <is>
          <t>companyfacts</t>
        </is>
      </c>
      <c r="D1" s="2" t="inlineStr">
        <is>
          <t>ok</t>
        </is>
      </c>
      <c r="E1" s="2" t="inlineStr">
        <is>
          <t>note</t>
        </is>
      </c>
    </row>
    <row r="2">
      <c r="A2" t="inlineStr">
        <is>
          <t>revenue FY 2025-12-31</t>
        </is>
      </c>
      <c r="B2" t="n">
        <v>402836000000</v>
      </c>
      <c r="C2" t="n">
        <v>402836000000</v>
      </c>
      <c r="D2" t="b">
        <v>1</v>
      </c>
      <c r="E2" t="inlineStr"/>
    </row>
    <row r="3">
      <c r="A3" t="inlineStr">
        <is>
          <t>net income FY 2025-12-31</t>
        </is>
      </c>
      <c r="B3" t="n">
        <v>132170000000</v>
      </c>
      <c r="C3" t="n">
        <v>132170000000</v>
      </c>
      <c r="D3" t="b">
        <v>1</v>
      </c>
      <c r="E3" t="inlineStr"/>
    </row>
    <row r="4">
      <c r="A4" t="inlineStr">
        <is>
          <t>diluted shares FY 2025-12-31</t>
        </is>
      </c>
      <c r="C4" t="n">
        <v>12230000000</v>
      </c>
      <c r="D4" t="b">
        <v>0</v>
      </c>
      <c r="E4" t="inlineStr">
        <is>
          <t>missing on the model side (label not picked from the statements)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2026-09-08T02:13:52Z</dcterms:created>
  <dcterms:modified xmlns:dcterms="http://purl.org/dc/terms/" xmlns:xsi="http://www.w3.org/2001/XMLSchema-instance" xsi:type="dcterms:W3CDTF">2026-09-08T02:13:52Z</dcterms:modified>
</cp:coreProperties>
</file>