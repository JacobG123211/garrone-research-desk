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S" sheetId="2" state="visible" r:id="rId2"/>
    <sheet xmlns:r="http://schemas.openxmlformats.org/officeDocument/2006/relationships" name="BS" sheetId="3" state="visible" r:id="rId3"/>
    <sheet xmlns:r="http://schemas.openxmlformats.org/officeDocument/2006/relationships" name="CF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_canaries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"/>
    <numFmt numFmtId="165" formatCode="0.0%"/>
    <numFmt numFmtId="166" formatCode="0.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1F4E9E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0" fontId="3" fillId="2" borderId="0" pivotButton="0" quotePrefix="0" xfId="0"/>
    <xf numFmtId="4" fontId="3" fillId="2" borderId="0" pivotButton="0" quotePrefix="0" xfId="0"/>
    <xf numFmtId="10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MICROSOFT CORP (MSFT) — EDGAR-sourced model</t>
        </is>
      </c>
    </row>
    <row r="3">
      <c r="A3" t="inlineStr">
        <is>
          <t>Built</t>
        </is>
      </c>
      <c r="B3" t="inlineStr">
        <is>
          <t>2026-09-08 12:14</t>
        </is>
      </c>
    </row>
    <row r="4">
      <c r="A4" t="inlineStr">
        <is>
          <t>Source</t>
        </is>
      </c>
      <c r="B4" t="inlineStr">
        <is>
          <t>SEC EDGAR 10-K XBRL, stitched across 2026-07-29, 2025-07-30, 2024-07-30, 2023-07-27, 2022-07-28</t>
        </is>
      </c>
    </row>
    <row r="5">
      <c r="A5" t="inlineStr">
        <is>
          <t>Currency</t>
        </is>
      </c>
      <c r="B5" t="inlineStr">
        <is>
          <t>as filed (USD for 10-K filers; 20-F filers report in home currency — DCF per-share is in that currency)</t>
        </is>
      </c>
    </row>
    <row r="6">
      <c r="A6" t="inlineStr">
        <is>
          <t>Price</t>
        </is>
      </c>
      <c r="B6" t="n">
        <v>499.7</v>
      </c>
      <c r="C6" t="inlineStr">
        <is>
          <t>Tiingo adjusted close (latest cached)</t>
        </is>
      </c>
    </row>
    <row r="7">
      <c r="A7" t="inlineStr">
        <is>
          <t>Assumptions</t>
        </is>
      </c>
      <c r="B7" t="inlineStr">
        <is>
          <t>yellow cells on the DCF sheet are inputs; every projection is a live formula</t>
        </is>
      </c>
    </row>
    <row r="8">
      <c r="A8" t="inlineStr">
        <is>
          <t>Implied growth</t>
        </is>
      </c>
      <c r="B8" t="inlineStr">
        <is>
          <t>the price implies year-1 revenue growth of 38.3% (5y CAGR 24.4%) under the printed assumptions</t>
        </is>
      </c>
    </row>
    <row r="9">
      <c r="A9" t="inlineStr">
        <is>
          <t>Not investment advice — a transparent arithmetic scaffold with stated assumptions. Verify against the filing before use.</t>
        </is>
      </c>
    </row>
    <row r="11">
      <c r="A11" t="inlineStr">
        <is>
          <t>A1</t>
        </is>
      </c>
      <c r="B11" t="inlineStr">
        <is>
          <t>Base year = trailing twelve months from the latest 10-Q where companyfacts has it (else the last 10-K). Year-1 growth = TTM revenue growth bounded to [-10%, +60%] (else the 3y CAGR clamped to [-10%, +35%]), fading geometrically to terminal g + 1.5% by year 10.</t>
        </is>
      </c>
    </row>
    <row r="12">
      <c r="A12" t="inlineStr">
        <is>
          <t>A2</t>
        </is>
      </c>
      <c r="B12" t="inlineStr">
        <is>
          <t>EBIT margin = TTM operating margin when the TTM base is used (else the last-two-FY average); D&amp;A held at its latest-year % of revenue; capex intensity fades from the latest year to the multi-year average by year 5 and holds; NWC = 5% of incremental revenue.</t>
        </is>
      </c>
    </row>
    <row r="13">
      <c r="A13" t="inlineStr">
        <is>
          <t>A3</t>
        </is>
      </c>
      <c r="B13" t="inlineStr">
        <is>
          <t>WACC: rf = same-day Treasury 10y, ERP 5.0%, beta = Blume-adjusted (0.67 x raw + 0.33) from a 1y daily regression vs SPY (raw bounded to [0.4, 2.5]; fallback raw 1.2), cost of debt = interest expense / debt (bounded).</t>
        </is>
      </c>
    </row>
    <row r="14">
      <c r="A14" t="inlineStr">
        <is>
          <t>A4</t>
        </is>
      </c>
      <c r="B14" t="inlineStr">
        <is>
          <t>Share counts are as reported in each year's filing (pre-split years are NOT restated); per-share value uses the latest diluted count.</t>
        </is>
      </c>
    </row>
    <row r="15">
      <c r="A15" t="inlineStr">
        <is>
          <t>A5</t>
        </is>
      </c>
      <c r="B15" t="inlineStr">
        <is>
          <t>Balance-sheet cash includes short-term investments where the filer tags them; tag drift across years is resolved by the fullest row.</t>
        </is>
      </c>
    </row>
    <row r="16">
      <c r="A16" t="inlineStr">
        <is>
          <t>A6</t>
        </is>
      </c>
      <c r="B16" t="inlineStr">
        <is>
          <t>Terminal growth 2.5%. Sensitivity grid is static; the DCF sheet recomputes when inputs change.</t>
        </is>
      </c>
    </row>
    <row r="17">
      <c r="A17" t="inlineStr">
        <is>
          <t>A7</t>
        </is>
      </c>
      <c r="B17" t="inlineStr">
        <is>
          <t>A terminal-year FCFF at or below zero marks the model n/m instead of printing a negative value. The implied year-1 growth at which the scaffold equals the price (reverse DCF) is on this cover.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IS</t>
        </is>
      </c>
    </row>
    <row r="2">
      <c r="B2" s="2" t="inlineStr">
        <is>
          <t>2022-06-30</t>
        </is>
      </c>
      <c r="C2" s="2" t="inlineStr">
        <is>
          <t>2023-06-30</t>
        </is>
      </c>
      <c r="D2" s="2" t="inlineStr">
        <is>
          <t>2024-06-30</t>
        </is>
      </c>
      <c r="E2" s="2" t="inlineStr">
        <is>
          <t>2025-06-30</t>
        </is>
      </c>
      <c r="F2" s="2" t="inlineStr">
        <is>
          <t>2026-06-30</t>
        </is>
      </c>
    </row>
    <row r="3">
      <c r="A3" t="inlineStr">
        <is>
          <t>Revenue</t>
        </is>
      </c>
      <c r="B3" s="3" t="n">
        <v>198270000000</v>
      </c>
      <c r="C3" s="3" t="n">
        <v>211915000000</v>
      </c>
      <c r="D3" s="3" t="n">
        <v>245122000000</v>
      </c>
      <c r="E3" s="3" t="n">
        <v>281724000000</v>
      </c>
      <c r="F3" s="3" t="n">
        <v>331839000000</v>
      </c>
    </row>
    <row r="4">
      <c r="A4" t="inlineStr">
        <is>
          <t>Cost of revenue</t>
        </is>
      </c>
      <c r="B4" s="3" t="n">
        <v>62650000000</v>
      </c>
      <c r="C4" s="3" t="n">
        <v>65863000000</v>
      </c>
      <c r="D4" s="3" t="n">
        <v>74114000000</v>
      </c>
      <c r="E4" s="3" t="n">
        <v>87831000000</v>
      </c>
      <c r="F4" s="3" t="n">
        <v>106374000000</v>
      </c>
    </row>
    <row r="5">
      <c r="A5" t="inlineStr">
        <is>
          <t>Gross profit</t>
        </is>
      </c>
      <c r="B5" s="3" t="n">
        <v>135620000000</v>
      </c>
      <c r="C5" s="3" t="n">
        <v>146052000000</v>
      </c>
      <c r="D5" s="3" t="n">
        <v>171008000000</v>
      </c>
      <c r="E5" s="3" t="n">
        <v>193893000000</v>
      </c>
      <c r="F5" s="3" t="n">
        <v>225465000000</v>
      </c>
    </row>
    <row r="6">
      <c r="A6" t="inlineStr">
        <is>
          <t>R&amp;D</t>
        </is>
      </c>
      <c r="B6" s="3" t="n">
        <v>24512000000</v>
      </c>
      <c r="C6" s="3" t="n">
        <v>27195000000</v>
      </c>
      <c r="D6" s="3" t="n">
        <v>29510000000</v>
      </c>
      <c r="E6" s="3" t="n">
        <v>32488000000</v>
      </c>
      <c r="F6" s="3" t="n">
        <v>35562000000</v>
      </c>
    </row>
    <row r="7">
      <c r="A7" t="inlineStr">
        <is>
          <t>SG&amp;A</t>
        </is>
      </c>
      <c r="B7" s="3" t="n"/>
      <c r="C7" s="3" t="n"/>
      <c r="D7" s="3" t="n"/>
      <c r="E7" s="3" t="n"/>
      <c r="F7" s="3" t="n"/>
    </row>
    <row r="8">
      <c r="A8" t="inlineStr">
        <is>
          <t>Operating income</t>
        </is>
      </c>
      <c r="B8" s="3" t="n">
        <v>83383000000</v>
      </c>
      <c r="C8" s="3" t="n">
        <v>88523000000</v>
      </c>
      <c r="D8" s="3" t="n">
        <v>109433000000</v>
      </c>
      <c r="E8" s="3" t="n">
        <v>128528000000</v>
      </c>
      <c r="F8" s="3" t="n">
        <v>155237000000</v>
      </c>
    </row>
    <row r="9">
      <c r="A9" t="inlineStr">
        <is>
          <t>Interest expense</t>
        </is>
      </c>
      <c r="B9" s="3" t="n"/>
      <c r="C9" s="3" t="n"/>
      <c r="D9" s="3" t="n"/>
      <c r="E9" s="3" t="n"/>
      <c r="F9" s="3" t="n"/>
    </row>
    <row r="10">
      <c r="A10" t="inlineStr">
        <is>
          <t>Pre-tax income</t>
        </is>
      </c>
      <c r="B10" s="3" t="n">
        <v>83716000000</v>
      </c>
      <c r="C10" s="3" t="n">
        <v>89311000000</v>
      </c>
      <c r="D10" s="3" t="n">
        <v>107787000000</v>
      </c>
      <c r="E10" s="3" t="n">
        <v>123627000000</v>
      </c>
      <c r="F10" s="3" t="n">
        <v>165934000000</v>
      </c>
    </row>
    <row r="11">
      <c r="A11" t="inlineStr">
        <is>
          <t>Income tax</t>
        </is>
      </c>
      <c r="B11" s="3" t="n">
        <v>10978000000</v>
      </c>
      <c r="C11" s="3" t="n">
        <v>16950000000</v>
      </c>
      <c r="D11" s="3" t="n">
        <v>19651000000</v>
      </c>
      <c r="E11" s="3" t="n">
        <v>21795000000</v>
      </c>
      <c r="F11" s="3" t="n">
        <v>32185000000</v>
      </c>
    </row>
    <row r="12">
      <c r="A12" t="inlineStr">
        <is>
          <t>Net income</t>
        </is>
      </c>
      <c r="B12" s="3" t="n">
        <v>72738000000</v>
      </c>
      <c r="C12" s="3" t="n">
        <v>72361000000</v>
      </c>
      <c r="D12" s="3" t="n">
        <v>88136000000</v>
      </c>
      <c r="E12" s="3" t="n">
        <v>101832000000</v>
      </c>
      <c r="F12" s="3" t="n">
        <v>133749000000</v>
      </c>
    </row>
    <row r="13">
      <c r="A13" t="inlineStr">
        <is>
          <t>EPS diluted</t>
        </is>
      </c>
      <c r="B13" s="3" t="n">
        <v>9.65</v>
      </c>
      <c r="C13" s="3" t="n">
        <v>9.68</v>
      </c>
      <c r="D13" s="3" t="n">
        <v>11.8</v>
      </c>
      <c r="E13" s="3" t="n">
        <v>13.64</v>
      </c>
      <c r="F13" s="3" t="n">
        <v>17.95</v>
      </c>
    </row>
    <row r="14">
      <c r="A14" t="inlineStr">
        <is>
          <t>Diluted shares</t>
        </is>
      </c>
      <c r="B14" s="3" t="n">
        <v>7540000000</v>
      </c>
      <c r="C14" s="3" t="n">
        <v>7472000000</v>
      </c>
      <c r="D14" s="3" t="n">
        <v>7469000000</v>
      </c>
      <c r="E14" s="3" t="n">
        <v>7465000000</v>
      </c>
      <c r="F14" s="3" t="n">
        <v>7453000000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BS</t>
        </is>
      </c>
    </row>
    <row r="2">
      <c r="B2" s="2" t="inlineStr">
        <is>
          <t>2022-06-30</t>
        </is>
      </c>
      <c r="C2" s="2" t="inlineStr">
        <is>
          <t>2023-06-30</t>
        </is>
      </c>
      <c r="D2" s="2" t="inlineStr">
        <is>
          <t>2024-06-30</t>
        </is>
      </c>
      <c r="E2" s="2" t="inlineStr">
        <is>
          <t>2025-06-30</t>
        </is>
      </c>
      <c r="F2" s="2" t="inlineStr">
        <is>
          <t>2026-06-30</t>
        </is>
      </c>
    </row>
    <row r="3">
      <c r="A3" t="inlineStr">
        <is>
          <t>Cash &amp; equivalents</t>
        </is>
      </c>
      <c r="B3" s="3" t="n">
        <v>13931000000</v>
      </c>
      <c r="C3" s="3" t="n">
        <v>34704000000</v>
      </c>
      <c r="D3" s="3" t="n">
        <v>18315000000</v>
      </c>
      <c r="E3" s="3" t="n">
        <v>30242000000</v>
      </c>
      <c r="F3" s="3" t="n">
        <v>20935000000</v>
      </c>
    </row>
    <row r="4">
      <c r="A4" t="inlineStr">
        <is>
          <t>Short-term investments</t>
        </is>
      </c>
      <c r="B4" s="3" t="n">
        <v>90826000000</v>
      </c>
      <c r="C4" s="3" t="n">
        <v>76558000000</v>
      </c>
      <c r="D4" s="3" t="n">
        <v>57228000000</v>
      </c>
      <c r="E4" s="3" t="n">
        <v>64323000000</v>
      </c>
      <c r="F4" s="3" t="n">
        <v>55908000000</v>
      </c>
    </row>
    <row r="5">
      <c r="A5" t="inlineStr">
        <is>
          <t>Total assets</t>
        </is>
      </c>
      <c r="B5" s="3" t="n">
        <v>364840000000</v>
      </c>
      <c r="C5" s="3" t="n">
        <v>411976000000</v>
      </c>
      <c r="D5" s="3" t="n">
        <v>512163000000</v>
      </c>
      <c r="E5" s="3" t="n">
        <v>619003000000</v>
      </c>
      <c r="F5" s="3" t="n">
        <v>758376000000</v>
      </c>
    </row>
    <row r="6">
      <c r="A6" t="inlineStr">
        <is>
          <t>Debt — current</t>
        </is>
      </c>
      <c r="B6" s="3" t="n">
        <v>2749000000</v>
      </c>
      <c r="C6" s="3" t="n">
        <v>5247000000</v>
      </c>
      <c r="D6" s="3" t="n">
        <v>2249000000</v>
      </c>
      <c r="E6" s="3" t="n">
        <v>2999000000</v>
      </c>
      <c r="F6" s="3" t="n">
        <v>9227000000</v>
      </c>
    </row>
    <row r="7">
      <c r="A7" t="inlineStr">
        <is>
          <t>Debt — long-term</t>
        </is>
      </c>
      <c r="B7" s="3" t="n">
        <v>47032000000</v>
      </c>
      <c r="C7" s="3" t="n">
        <v>41990000000</v>
      </c>
      <c r="D7" s="3" t="n">
        <v>42688000000</v>
      </c>
      <c r="E7" s="3" t="n">
        <v>40152000000</v>
      </c>
      <c r="F7" s="3" t="n">
        <v>31067000000</v>
      </c>
    </row>
    <row r="8">
      <c r="A8" t="inlineStr">
        <is>
          <t>Shareholders' equity</t>
        </is>
      </c>
      <c r="B8" s="3" t="n">
        <v>166542000000</v>
      </c>
      <c r="C8" s="3" t="n">
        <v>206223000000</v>
      </c>
      <c r="D8" s="3" t="n">
        <v>268477000000</v>
      </c>
      <c r="E8" s="3" t="n">
        <v>343479000000</v>
      </c>
      <c r="F8" s="3" t="n">
        <v>442387000000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CF</t>
        </is>
      </c>
    </row>
    <row r="2">
      <c r="B2" s="2" t="inlineStr">
        <is>
          <t>2022-06-30</t>
        </is>
      </c>
      <c r="C2" s="2" t="inlineStr">
        <is>
          <t>2023-06-30</t>
        </is>
      </c>
      <c r="D2" s="2" t="inlineStr">
        <is>
          <t>2024-06-30</t>
        </is>
      </c>
      <c r="E2" s="2" t="inlineStr">
        <is>
          <t>2025-06-30</t>
        </is>
      </c>
      <c r="F2" s="2" t="inlineStr">
        <is>
          <t>2026-06-30</t>
        </is>
      </c>
    </row>
    <row r="3">
      <c r="A3" t="inlineStr">
        <is>
          <t>Cash from operations</t>
        </is>
      </c>
      <c r="B3" s="3" t="n">
        <v>89035000000</v>
      </c>
      <c r="C3" s="3" t="n">
        <v>87582000000</v>
      </c>
      <c r="D3" s="3" t="n">
        <v>118548000000</v>
      </c>
      <c r="E3" s="3" t="n">
        <v>136162000000</v>
      </c>
      <c r="F3" s="3" t="n">
        <v>182935000000</v>
      </c>
    </row>
    <row r="4">
      <c r="A4" t="inlineStr">
        <is>
          <t>Capex</t>
        </is>
      </c>
      <c r="B4" s="3" t="n">
        <v>-23886000000</v>
      </c>
      <c r="C4" s="3" t="n">
        <v>-28107000000</v>
      </c>
      <c r="D4" s="3" t="n">
        <v>-44477000000</v>
      </c>
      <c r="E4" s="3" t="n">
        <v>-64551000000</v>
      </c>
      <c r="F4" s="3" t="n">
        <v>-115948000000</v>
      </c>
    </row>
    <row r="5">
      <c r="A5" t="inlineStr">
        <is>
          <t>D&amp;A</t>
        </is>
      </c>
      <c r="B5" s="3" t="n">
        <v>14460000000</v>
      </c>
      <c r="C5" s="3" t="n">
        <v>13861000000</v>
      </c>
      <c r="D5" s="3" t="n">
        <v>22287000000</v>
      </c>
      <c r="E5" s="3" t="n">
        <v>34153000000</v>
      </c>
      <c r="F5" s="3" t="n">
        <v>38534000000</v>
      </c>
    </row>
    <row r="6">
      <c r="A6" t="inlineStr">
        <is>
          <t>Stock-based comp</t>
        </is>
      </c>
      <c r="B6" s="3" t="n">
        <v>7502000000</v>
      </c>
      <c r="C6" s="3" t="n">
        <v>9611000000</v>
      </c>
      <c r="D6" s="3" t="n">
        <v>10734000000</v>
      </c>
      <c r="E6" s="3" t="n">
        <v>11974000000</v>
      </c>
      <c r="F6" s="3" t="n">
        <v>12405000000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2" t="inlineStr">
        <is>
          <t>DCF — FCFF, 10-year explicit + Gordon terminal (base = last FY)</t>
        </is>
      </c>
    </row>
    <row r="3">
      <c r="A3" t="inlineStr">
        <is>
          <t>Risk-free (10y)</t>
        </is>
      </c>
      <c r="B3" s="4" t="n">
        <v>0.0478</v>
      </c>
    </row>
    <row r="4">
      <c r="A4" t="inlineStr">
        <is>
          <t>Equity risk premium</t>
        </is>
      </c>
      <c r="B4" s="4" t="n">
        <v>0.05</v>
      </c>
    </row>
    <row r="5">
      <c r="A5" t="inlineStr">
        <is>
          <t>Beta</t>
        </is>
      </c>
      <c r="B5" s="5" t="n">
        <v>0.973</v>
      </c>
    </row>
    <row r="6">
      <c r="A6" t="inlineStr">
        <is>
          <t>Cost of debt (pre-tax)</t>
        </is>
      </c>
      <c r="B6" s="4" t="n">
        <v>0.06279999999999999</v>
      </c>
    </row>
    <row r="7">
      <c r="A7" t="inlineStr">
        <is>
          <t>Tax rate</t>
        </is>
      </c>
      <c r="B7" s="4" t="n">
        <v>0.194</v>
      </c>
    </row>
    <row r="8">
      <c r="A8" t="inlineStr">
        <is>
          <t>Equity weight</t>
        </is>
      </c>
      <c r="B8" s="4" t="n">
        <v>0.989</v>
      </c>
    </row>
    <row r="9">
      <c r="A9" t="inlineStr">
        <is>
          <t>Debt weight</t>
        </is>
      </c>
      <c r="B9" s="4" t="n">
        <v>0.011</v>
      </c>
    </row>
    <row r="10">
      <c r="A10" t="inlineStr">
        <is>
          <t>Year-1 revenue growth</t>
        </is>
      </c>
      <c r="B10" s="4" t="n">
        <v>0.1612</v>
      </c>
    </row>
    <row r="11">
      <c r="A11" t="inlineStr">
        <is>
          <t>Terminal growth</t>
        </is>
      </c>
      <c r="B11" s="4" t="n">
        <v>0.025</v>
      </c>
    </row>
    <row r="12">
      <c r="A12" t="inlineStr">
        <is>
          <t>EBIT margin</t>
        </is>
      </c>
      <c r="B12" s="4" t="n">
        <v>0.462</v>
      </c>
    </row>
    <row r="13">
      <c r="A13" t="inlineStr">
        <is>
          <t>D&amp;A % revenue</t>
        </is>
      </c>
      <c r="B13" s="4" t="n">
        <v>0.1161</v>
      </c>
    </row>
    <row r="14">
      <c r="A14" t="inlineStr">
        <is>
          <t>Capex % revenue</t>
        </is>
      </c>
      <c r="B14" s="4" t="n">
        <v>0.3494</v>
      </c>
    </row>
    <row r="15">
      <c r="A15" t="inlineStr">
        <is>
          <t>NWC % of Δrevenue</t>
        </is>
      </c>
      <c r="B15" s="4" t="n">
        <v>0.05</v>
      </c>
    </row>
    <row r="16">
      <c r="A16" t="inlineStr">
        <is>
          <t>Net debt</t>
        </is>
      </c>
      <c r="B16" s="5" t="n">
        <v>-36549000000</v>
      </c>
    </row>
    <row r="17">
      <c r="A17" t="inlineStr">
        <is>
          <t>Diluted shares</t>
        </is>
      </c>
      <c r="B17" s="5" t="n">
        <v>7453000000</v>
      </c>
    </row>
    <row r="18">
      <c r="A18" t="inlineStr">
        <is>
          <t>Price</t>
        </is>
      </c>
      <c r="B18" s="5" t="n">
        <v>499.7</v>
      </c>
    </row>
    <row r="20">
      <c r="A20" t="inlineStr">
        <is>
          <t>Cost of equity</t>
        </is>
      </c>
      <c r="B20" s="6">
        <f>B3+B5*B4</f>
        <v/>
      </c>
    </row>
    <row r="21">
      <c r="A21" t="inlineStr">
        <is>
          <t>WACC (floored at g + 2%)</t>
        </is>
      </c>
      <c r="B21" s="6">
        <f>MAX(B11+0.02,B8*B20+B9*B6*(1-B7))</f>
        <v/>
      </c>
    </row>
    <row r="23">
      <c r="A23" s="2" t="inlineStr">
        <is>
          <t>Projection</t>
        </is>
      </c>
    </row>
    <row r="24">
      <c r="A24" s="2" t="inlineStr"/>
      <c r="B24" s="2" t="inlineStr">
        <is>
          <t>FY0 (last actual)</t>
        </is>
      </c>
      <c r="C24" s="2" t="inlineStr">
        <is>
          <t>Y1</t>
        </is>
      </c>
      <c r="D24" s="2" t="inlineStr">
        <is>
          <t>Y2</t>
        </is>
      </c>
      <c r="E24" s="2" t="inlineStr">
        <is>
          <t>Y3</t>
        </is>
      </c>
      <c r="F24" s="2" t="inlineStr">
        <is>
          <t>Y4</t>
        </is>
      </c>
      <c r="G24" s="2" t="inlineStr">
        <is>
          <t>Y5</t>
        </is>
      </c>
      <c r="H24" s="2" t="inlineStr">
        <is>
          <t>Y6</t>
        </is>
      </c>
      <c r="I24" s="2" t="inlineStr">
        <is>
          <t>Y7</t>
        </is>
      </c>
      <c r="J24" s="2" t="inlineStr">
        <is>
          <t>Y8</t>
        </is>
      </c>
      <c r="K24" s="2" t="inlineStr">
        <is>
          <t>Y9</t>
        </is>
      </c>
      <c r="L24" s="2" t="inlineStr">
        <is>
          <t>Y10</t>
        </is>
      </c>
    </row>
    <row r="25">
      <c r="A25" t="inlineStr">
        <is>
          <t>Growth</t>
        </is>
      </c>
      <c r="C25" s="7">
        <f>IF($B$10&gt;0.02,$B$10*(($B$11+0.015)/$B$10)^((1-1)/(10-1)),$B$10+($B$11+0.015-$B$10)*(1-1)/(10-1))</f>
        <v/>
      </c>
      <c r="D25" s="7">
        <f>IF($B$10&gt;0.02,$B$10*(($B$11+0.015)/$B$10)^((2-1)/(10-1)),$B$10+($B$11+0.015-$B$10)*(2-1)/(10-1))</f>
        <v/>
      </c>
      <c r="E25" s="7">
        <f>IF($B$10&gt;0.02,$B$10*(($B$11+0.015)/$B$10)^((3-1)/(10-1)),$B$10+($B$11+0.015-$B$10)*(3-1)/(10-1))</f>
        <v/>
      </c>
      <c r="F25" s="7">
        <f>IF($B$10&gt;0.02,$B$10*(($B$11+0.015)/$B$10)^((4-1)/(10-1)),$B$10+($B$11+0.015-$B$10)*(4-1)/(10-1))</f>
        <v/>
      </c>
      <c r="G25" s="7">
        <f>IF($B$10&gt;0.02,$B$10*(($B$11+0.015)/$B$10)^((5-1)/(10-1)),$B$10+($B$11+0.015-$B$10)*(5-1)/(10-1))</f>
        <v/>
      </c>
      <c r="H25" s="7">
        <f>IF($B$10&gt;0.02,$B$10*(($B$11+0.015)/$B$10)^((6-1)/(10-1)),$B$10+($B$11+0.015-$B$10)*(6-1)/(10-1))</f>
        <v/>
      </c>
      <c r="I25" s="7">
        <f>IF($B$10&gt;0.02,$B$10*(($B$11+0.015)/$B$10)^((7-1)/(10-1)),$B$10+($B$11+0.015-$B$10)*(7-1)/(10-1))</f>
        <v/>
      </c>
      <c r="J25" s="7">
        <f>IF($B$10&gt;0.02,$B$10*(($B$11+0.015)/$B$10)^((8-1)/(10-1)),$B$10+($B$11+0.015-$B$10)*(8-1)/(10-1))</f>
        <v/>
      </c>
      <c r="K25" s="7">
        <f>IF($B$10&gt;0.02,$B$10*(($B$11+0.015)/$B$10)^((9-1)/(10-1)),$B$10+($B$11+0.015-$B$10)*(9-1)/(10-1))</f>
        <v/>
      </c>
      <c r="L25" s="7">
        <f>IF($B$10&gt;0.02,$B$10*(($B$11+0.015)/$B$10)^((10-1)/(10-1)),$B$10+($B$11+0.015-$B$10)*(10-1)/(10-1))</f>
        <v/>
      </c>
    </row>
    <row r="26">
      <c r="A26" t="inlineStr">
        <is>
          <t>Revenue</t>
        </is>
      </c>
      <c r="B26" t="n">
        <v>331839000000</v>
      </c>
      <c r="C26" s="8">
        <f>B26*(1+C25)</f>
        <v/>
      </c>
      <c r="D26" s="8">
        <f>C26*(1+D25)</f>
        <v/>
      </c>
      <c r="E26" s="8">
        <f>D26*(1+E25)</f>
        <v/>
      </c>
      <c r="F26" s="8">
        <f>E26*(1+F25)</f>
        <v/>
      </c>
      <c r="G26" s="8">
        <f>F26*(1+G25)</f>
        <v/>
      </c>
      <c r="H26" s="8">
        <f>G26*(1+H25)</f>
        <v/>
      </c>
      <c r="I26" s="8">
        <f>H26*(1+I25)</f>
        <v/>
      </c>
      <c r="J26" s="8">
        <f>I26*(1+J25)</f>
        <v/>
      </c>
      <c r="K26" s="8">
        <f>J26*(1+K25)</f>
        <v/>
      </c>
      <c r="L26" s="8">
        <f>K26*(1+L25)</f>
        <v/>
      </c>
    </row>
    <row r="27">
      <c r="A27" t="inlineStr">
        <is>
          <t>EBIT</t>
        </is>
      </c>
      <c r="C27" s="8">
        <f>C26*$B$12</f>
        <v/>
      </c>
      <c r="D27" s="8">
        <f>D26*$B$12</f>
        <v/>
      </c>
      <c r="E27" s="8">
        <f>E26*$B$12</f>
        <v/>
      </c>
      <c r="F27" s="8">
        <f>F26*$B$12</f>
        <v/>
      </c>
      <c r="G27" s="8">
        <f>G26*$B$12</f>
        <v/>
      </c>
      <c r="H27" s="8">
        <f>H26*$B$12</f>
        <v/>
      </c>
      <c r="I27" s="8">
        <f>I26*$B$12</f>
        <v/>
      </c>
      <c r="J27" s="8">
        <f>J26*$B$12</f>
        <v/>
      </c>
      <c r="K27" s="8">
        <f>K26*$B$12</f>
        <v/>
      </c>
      <c r="L27" s="8">
        <f>L26*$B$12</f>
        <v/>
      </c>
    </row>
    <row r="28">
      <c r="A28" t="inlineStr">
        <is>
          <t>NOPAT</t>
        </is>
      </c>
      <c r="C28" s="8">
        <f>C27*(1-$B$7)</f>
        <v/>
      </c>
      <c r="D28" s="8">
        <f>D27*(1-$B$7)</f>
        <v/>
      </c>
      <c r="E28" s="8">
        <f>E27*(1-$B$7)</f>
        <v/>
      </c>
      <c r="F28" s="8">
        <f>F27*(1-$B$7)</f>
        <v/>
      </c>
      <c r="G28" s="8">
        <f>G27*(1-$B$7)</f>
        <v/>
      </c>
      <c r="H28" s="8">
        <f>H27*(1-$B$7)</f>
        <v/>
      </c>
      <c r="I28" s="8">
        <f>I27*(1-$B$7)</f>
        <v/>
      </c>
      <c r="J28" s="8">
        <f>J27*(1-$B$7)</f>
        <v/>
      </c>
      <c r="K28" s="8">
        <f>K27*(1-$B$7)</f>
        <v/>
      </c>
      <c r="L28" s="8">
        <f>L27*(1-$B$7)</f>
        <v/>
      </c>
    </row>
    <row r="29">
      <c r="A29" t="inlineStr">
        <is>
          <t>D&amp;A</t>
        </is>
      </c>
      <c r="C29" s="8">
        <f>C26*$B$13</f>
        <v/>
      </c>
      <c r="D29" s="8">
        <f>D26*$B$13</f>
        <v/>
      </c>
      <c r="E29" s="8">
        <f>E26*$B$13</f>
        <v/>
      </c>
      <c r="F29" s="8">
        <f>F26*$B$13</f>
        <v/>
      </c>
      <c r="G29" s="8">
        <f>G26*$B$13</f>
        <v/>
      </c>
      <c r="H29" s="8">
        <f>H26*$B$13</f>
        <v/>
      </c>
      <c r="I29" s="8">
        <f>I26*$B$13</f>
        <v/>
      </c>
      <c r="J29" s="8">
        <f>J26*$B$13</f>
        <v/>
      </c>
      <c r="K29" s="8">
        <f>K26*$B$13</f>
        <v/>
      </c>
      <c r="L29" s="8">
        <f>L26*$B$13</f>
        <v/>
      </c>
    </row>
    <row r="30">
      <c r="A30" t="inlineStr">
        <is>
          <t>Capex</t>
        </is>
      </c>
      <c r="C30" s="8">
        <f>C26*$B$14</f>
        <v/>
      </c>
      <c r="D30" s="8">
        <f>D26*$B$14</f>
        <v/>
      </c>
      <c r="E30" s="8">
        <f>E26*$B$14</f>
        <v/>
      </c>
      <c r="F30" s="8">
        <f>F26*$B$14</f>
        <v/>
      </c>
      <c r="G30" s="8">
        <f>G26*$B$14</f>
        <v/>
      </c>
      <c r="H30" s="8">
        <f>H26*$B$14</f>
        <v/>
      </c>
      <c r="I30" s="8">
        <f>I26*$B$14</f>
        <v/>
      </c>
      <c r="J30" s="8">
        <f>J26*$B$14</f>
        <v/>
      </c>
      <c r="K30" s="8">
        <f>K26*$B$14</f>
        <v/>
      </c>
      <c r="L30" s="8">
        <f>L26*$B$14</f>
        <v/>
      </c>
    </row>
    <row r="31">
      <c r="A31" t="inlineStr">
        <is>
          <t>ΔNWC</t>
        </is>
      </c>
      <c r="C31" s="8">
        <f>(C26-B26)*$B$15</f>
        <v/>
      </c>
      <c r="D31" s="8">
        <f>(D26-C26)*$B$15</f>
        <v/>
      </c>
      <c r="E31" s="8">
        <f>(E26-D26)*$B$15</f>
        <v/>
      </c>
      <c r="F31" s="8">
        <f>(F26-E26)*$B$15</f>
        <v/>
      </c>
      <c r="G31" s="8">
        <f>(G26-F26)*$B$15</f>
        <v/>
      </c>
      <c r="H31" s="8">
        <f>(H26-G26)*$B$15</f>
        <v/>
      </c>
      <c r="I31" s="8">
        <f>(I26-H26)*$B$15</f>
        <v/>
      </c>
      <c r="J31" s="8">
        <f>(J26-I26)*$B$15</f>
        <v/>
      </c>
      <c r="K31" s="8">
        <f>(K26-J26)*$B$15</f>
        <v/>
      </c>
      <c r="L31" s="8">
        <f>(L26-K26)*$B$15</f>
        <v/>
      </c>
    </row>
    <row r="32">
      <c r="A32" t="inlineStr">
        <is>
          <t>FCFF</t>
        </is>
      </c>
      <c r="C32" s="8">
        <f>C28+C29-C30-C31</f>
        <v/>
      </c>
      <c r="D32" s="8">
        <f>D28+D29-D30-D31</f>
        <v/>
      </c>
      <c r="E32" s="8">
        <f>E28+E29-E30-E31</f>
        <v/>
      </c>
      <c r="F32" s="8">
        <f>F28+F29-F30-F31</f>
        <v/>
      </c>
      <c r="G32" s="8">
        <f>G28+G29-G30-G31</f>
        <v/>
      </c>
      <c r="H32" s="8">
        <f>H28+H29-H30-H31</f>
        <v/>
      </c>
      <c r="I32" s="8">
        <f>I28+I29-I30-I31</f>
        <v/>
      </c>
      <c r="J32" s="8">
        <f>J28+J29-J30-J31</f>
        <v/>
      </c>
      <c r="K32" s="8">
        <f>K28+K29-K30-K31</f>
        <v/>
      </c>
      <c r="L32" s="8">
        <f>L28+L29-L30-L31</f>
        <v/>
      </c>
    </row>
    <row r="33">
      <c r="A33" t="inlineStr">
        <is>
          <t>Discount factor</t>
        </is>
      </c>
      <c r="C33" s="9">
        <f>1/(1+$B$21)^1</f>
        <v/>
      </c>
      <c r="D33" s="9">
        <f>1/(1+$B$21)^2</f>
        <v/>
      </c>
      <c r="E33" s="9">
        <f>1/(1+$B$21)^3</f>
        <v/>
      </c>
      <c r="F33" s="9">
        <f>1/(1+$B$21)^4</f>
        <v/>
      </c>
      <c r="G33" s="9">
        <f>1/(1+$B$21)^5</f>
        <v/>
      </c>
      <c r="H33" s="9">
        <f>1/(1+$B$21)^6</f>
        <v/>
      </c>
      <c r="I33" s="9">
        <f>1/(1+$B$21)^7</f>
        <v/>
      </c>
      <c r="J33" s="9">
        <f>1/(1+$B$21)^8</f>
        <v/>
      </c>
      <c r="K33" s="9">
        <f>1/(1+$B$21)^9</f>
        <v/>
      </c>
      <c r="L33" s="9">
        <f>1/(1+$B$21)^10</f>
        <v/>
      </c>
    </row>
    <row r="34">
      <c r="A34" t="inlineStr">
        <is>
          <t>PV of FCFF</t>
        </is>
      </c>
      <c r="C34" s="8">
        <f>C32*C33</f>
        <v/>
      </c>
      <c r="D34" s="8">
        <f>D32*D33</f>
        <v/>
      </c>
      <c r="E34" s="8">
        <f>E32*E33</f>
        <v/>
      </c>
      <c r="F34" s="8">
        <f>F32*F33</f>
        <v/>
      </c>
      <c r="G34" s="8">
        <f>G32*G33</f>
        <v/>
      </c>
      <c r="H34" s="8">
        <f>H32*H33</f>
        <v/>
      </c>
      <c r="I34" s="8">
        <f>I32*I33</f>
        <v/>
      </c>
      <c r="J34" s="8">
        <f>J32*J33</f>
        <v/>
      </c>
      <c r="K34" s="8">
        <f>K32*K33</f>
        <v/>
      </c>
      <c r="L34" s="8">
        <f>L32*L33</f>
        <v/>
      </c>
    </row>
    <row r="36">
      <c r="A36" t="inlineStr">
        <is>
          <t>Terminal value</t>
        </is>
      </c>
      <c r="B36" s="8">
        <f>L32*(1+$B$11)/($B$21-$B$11)</f>
        <v/>
      </c>
    </row>
    <row r="37">
      <c r="A37" t="inlineStr">
        <is>
          <t>PV of terminal value</t>
        </is>
      </c>
      <c r="B37" s="8">
        <f>B36*L33</f>
        <v/>
      </c>
    </row>
    <row r="38">
      <c r="A38" t="inlineStr">
        <is>
          <t>Enterprise value</t>
        </is>
      </c>
      <c r="B38" s="8">
        <f>SUM(C34:L34)+B37</f>
        <v/>
      </c>
    </row>
    <row r="39">
      <c r="A39" t="inlineStr">
        <is>
          <t>Equity value</t>
        </is>
      </c>
      <c r="B39" s="8">
        <f>B38-B16</f>
        <v/>
      </c>
    </row>
    <row r="40">
      <c r="A40" t="inlineStr">
        <is>
          <t>Value per share</t>
        </is>
      </c>
      <c r="B40" s="10">
        <f>B39/B17</f>
        <v/>
      </c>
    </row>
    <row r="41">
      <c r="A41" t="inlineStr">
        <is>
          <t>Upside vs price</t>
        </is>
      </c>
      <c r="B41" s="7">
        <f>B40/B18-1</f>
        <v/>
      </c>
    </row>
    <row r="43">
      <c r="A43" t="inlineStr">
        <is>
          <t>Python-computed check of the same model (values):</t>
        </is>
      </c>
      <c r="B43" t="n">
        <v>289.87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Value per share — WACC (rows) × terminal growth (cols). Static grid from the Python model; the DCF sheet is live.</t>
        </is>
      </c>
    </row>
    <row r="2">
      <c r="B2" s="7" t="n">
        <v>0.02</v>
      </c>
      <c r="C2" s="7" t="n">
        <v>0.025</v>
      </c>
      <c r="D2" s="7" t="n">
        <v>0.03</v>
      </c>
    </row>
    <row r="3">
      <c r="A3" s="6" t="n">
        <v>0.08599999999999999</v>
      </c>
      <c r="B3" s="10" t="n">
        <v>325.72</v>
      </c>
      <c r="C3" s="10" t="n">
        <v>343.09</v>
      </c>
      <c r="D3" s="10" t="n">
        <v>363.56</v>
      </c>
    </row>
    <row r="4">
      <c r="A4" s="6" t="n">
        <v>0.091</v>
      </c>
      <c r="B4" s="10" t="n">
        <v>300.11</v>
      </c>
      <c r="C4" s="10" t="n">
        <v>314.43</v>
      </c>
      <c r="D4" s="10" t="n">
        <v>331.09</v>
      </c>
    </row>
    <row r="5">
      <c r="A5" s="6" t="n">
        <v>0.096</v>
      </c>
      <c r="B5" s="10" t="n">
        <v>277.94</v>
      </c>
      <c r="C5" s="10" t="n">
        <v>289.87</v>
      </c>
      <c r="D5" s="10" t="n">
        <v>303.62</v>
      </c>
    </row>
    <row r="6">
      <c r="A6" s="6" t="n">
        <v>0.101</v>
      </c>
      <c r="B6" s="10" t="n">
        <v>258.58</v>
      </c>
      <c r="C6" s="10" t="n">
        <v>268.61</v>
      </c>
      <c r="D6" s="10" t="n">
        <v>280.07</v>
      </c>
    </row>
    <row r="7">
      <c r="A7" s="6" t="n">
        <v>0.106</v>
      </c>
      <c r="B7" s="10" t="n">
        <v>241.52</v>
      </c>
      <c r="C7" s="10" t="n">
        <v>250.04</v>
      </c>
      <c r="D7" s="10" t="n">
        <v>259.67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" t="inlineStr">
        <is>
          <t>ticker</t>
        </is>
      </c>
      <c r="B1" s="2" t="inlineStr">
        <is>
          <t>name</t>
        </is>
      </c>
      <c r="C1" s="2" t="inlineStr">
        <is>
          <t>fy_end</t>
        </is>
      </c>
      <c r="D1" s="2" t="inlineStr">
        <is>
          <t>revenue</t>
        </is>
      </c>
      <c r="E1" s="2" t="inlineStr">
        <is>
          <t>rev_growth_pct</t>
        </is>
      </c>
      <c r="F1" s="2" t="inlineStr">
        <is>
          <t>gross_margin_pct</t>
        </is>
      </c>
      <c r="G1" s="2" t="inlineStr">
        <is>
          <t>op_margin_pct</t>
        </is>
      </c>
      <c r="H1" s="2" t="inlineStr">
        <is>
          <t>net_margin_pct</t>
        </is>
      </c>
      <c r="I1" s="2" t="inlineStr">
        <is>
          <t>price</t>
        </is>
      </c>
      <c r="J1" s="2" t="inlineStr">
        <is>
          <t>market_cap</t>
        </is>
      </c>
      <c r="K1" s="2" t="inlineStr">
        <is>
          <t>pe</t>
        </is>
      </c>
      <c r="L1" s="2" t="inlineStr">
        <is>
          <t>ps</t>
        </is>
      </c>
    </row>
    <row r="2">
      <c r="A2" t="inlineStr">
        <is>
          <t>ORCL</t>
        </is>
      </c>
      <c r="B2" t="inlineStr">
        <is>
          <t>ORACLE CORP</t>
        </is>
      </c>
      <c r="C2" t="inlineStr">
        <is>
          <t>2026-05-31</t>
        </is>
      </c>
      <c r="D2" t="n">
        <v>67357000000</v>
      </c>
      <c r="E2" t="n">
        <v>17.34873429850694</v>
      </c>
      <c r="G2" t="n">
        <v>30.59221758688778</v>
      </c>
      <c r="H2" t="n">
        <v>25.36781626260077</v>
      </c>
      <c r="I2" t="n">
        <v>141.32</v>
      </c>
      <c r="J2" t="n">
        <v>411806480000</v>
      </c>
      <c r="K2" t="n">
        <v>24.10057236495581</v>
      </c>
    </row>
    <row r="3">
      <c r="A3" t="inlineStr">
        <is>
          <t>PLTR</t>
        </is>
      </c>
      <c r="B3" t="inlineStr">
        <is>
          <t>Palantir Technologies Inc.</t>
        </is>
      </c>
      <c r="C3" t="inlineStr">
        <is>
          <t>2025-12-31</t>
        </is>
      </c>
      <c r="D3" t="n">
        <v>4475446000</v>
      </c>
      <c r="E3" t="n">
        <v>56.1833909322155</v>
      </c>
      <c r="F3" t="n">
        <v>82.36651721415028</v>
      </c>
      <c r="G3" t="n">
        <v>31.59495165398041</v>
      </c>
      <c r="H3" t="n">
        <v>36.30996776634105</v>
      </c>
      <c r="I3" t="n">
        <v>179.92</v>
      </c>
      <c r="J3" t="n">
        <v>461530244239.9999</v>
      </c>
      <c r="K3" t="n">
        <v>284.0128441945486</v>
      </c>
    </row>
    <row r="4">
      <c r="A4" t="inlineStr">
        <is>
          <t>ADBE</t>
        </is>
      </c>
      <c r="B4" t="inlineStr">
        <is>
          <t>ADOBE INC.</t>
        </is>
      </c>
      <c r="C4" t="inlineStr">
        <is>
          <t>2025-11-28</t>
        </is>
      </c>
      <c r="D4" t="n">
        <v>23769000000</v>
      </c>
      <c r="E4" t="n">
        <v>10.52778423622414</v>
      </c>
      <c r="F4" t="n">
        <v>89.26753334174765</v>
      </c>
      <c r="G4" t="n">
        <v>36.62754007320459</v>
      </c>
      <c r="H4" t="n">
        <v>29.99705498758888</v>
      </c>
      <c r="I4" t="n">
        <v>286.08</v>
      </c>
      <c r="J4" t="n">
        <v>122156160000</v>
      </c>
      <c r="K4" t="n">
        <v>17.13270126227209</v>
      </c>
    </row>
    <row r="5">
      <c r="A5" t="inlineStr">
        <is>
          <t>ADSK</t>
        </is>
      </c>
      <c r="B5" t="inlineStr">
        <is>
          <t>Autodesk, Inc.</t>
        </is>
      </c>
      <c r="C5" t="inlineStr">
        <is>
          <t>2026-01-31</t>
        </is>
      </c>
      <c r="D5" t="n">
        <v>7206000000</v>
      </c>
      <c r="E5" t="n">
        <v>17.53384439732506</v>
      </c>
      <c r="F5" t="n">
        <v>90.9797391063003</v>
      </c>
      <c r="G5" t="n">
        <v>21.89841798501249</v>
      </c>
      <c r="H5" t="n">
        <v>15.59811268387455</v>
      </c>
      <c r="I5" t="n">
        <v>247.69</v>
      </c>
      <c r="J5" t="n">
        <v>53253350000</v>
      </c>
      <c r="K5" t="n">
        <v>47.37842526690392</v>
      </c>
    </row>
    <row r="6">
      <c r="A6" t="inlineStr">
        <is>
          <t>AKAM</t>
        </is>
      </c>
      <c r="B6" t="inlineStr">
        <is>
          <t>AKAMAI TECHNOLOGIES INC</t>
        </is>
      </c>
      <c r="C6" t="inlineStr">
        <is>
          <t>2025-12-31</t>
        </is>
      </c>
      <c r="D6" t="n">
        <v>4208175000</v>
      </c>
      <c r="E6" t="n">
        <v>5.43718029408935</v>
      </c>
      <c r="G6" t="n">
        <v>13.4724435176769</v>
      </c>
      <c r="H6" t="n">
        <v>10.74173483754834</v>
      </c>
      <c r="I6" t="n">
        <v>106.46</v>
      </c>
      <c r="J6" t="n">
        <v>15652068580</v>
      </c>
      <c r="K6" t="n">
        <v>34.62609551114857</v>
      </c>
    </row>
    <row r="8">
      <c r="A8" t="inlineStr">
        <is>
          <t>Peers: financedatabase (same industry, US, large/mega cap); fundamentals EDGAR; prices Tiingo. Missing peers are omitted, never guessed.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check</t>
        </is>
      </c>
      <c r="B1" s="2" t="inlineStr">
        <is>
          <t>model</t>
        </is>
      </c>
      <c r="C1" s="2" t="inlineStr">
        <is>
          <t>companyfacts</t>
        </is>
      </c>
      <c r="D1" s="2" t="inlineStr">
        <is>
          <t>ok</t>
        </is>
      </c>
      <c r="E1" s="2" t="inlineStr">
        <is>
          <t>note</t>
        </is>
      </c>
    </row>
    <row r="2">
      <c r="A2" t="inlineStr">
        <is>
          <t>revenue FY 2026-06-30</t>
        </is>
      </c>
      <c r="B2" t="n">
        <v>331839000000</v>
      </c>
      <c r="C2" t="n">
        <v>331839000000</v>
      </c>
      <c r="D2" t="b">
        <v>1</v>
      </c>
      <c r="E2" t="inlineStr"/>
    </row>
    <row r="3">
      <c r="A3" t="inlineStr">
        <is>
          <t>net income FY 2026-06-30</t>
        </is>
      </c>
      <c r="B3" t="n">
        <v>133749000000</v>
      </c>
      <c r="C3" t="n">
        <v>133749000000</v>
      </c>
      <c r="D3" t="b">
        <v>1</v>
      </c>
      <c r="E3" t="inlineStr"/>
    </row>
    <row r="4">
      <c r="A4" t="inlineStr">
        <is>
          <t>diluted shares FY 2026-06-30</t>
        </is>
      </c>
      <c r="B4" t="n">
        <v>7453000000</v>
      </c>
      <c r="C4" t="n">
        <v>7453000000</v>
      </c>
      <c r="D4" t="b">
        <v>1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2026-09-08T02:14:07Z</dcterms:created>
  <dcterms:modified xmlns:dcterms="http://purl.org/dc/terms/" xmlns:xsi="http://www.w3.org/2001/XMLSchema-instance" xsi:type="dcterms:W3CDTF">2026-09-08T02:14:07Z</dcterms:modified>
</cp:coreProperties>
</file>